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要件定義見積もり" sheetId="1" r:id="rId5"/>
  </sheets>
  <definedNames/>
  <calcPr/>
</workbook>
</file>

<file path=xl/sharedStrings.xml><?xml version="1.0" encoding="utf-8"?>
<sst xmlns="http://schemas.openxmlformats.org/spreadsheetml/2006/main" count="77" uniqueCount="74">
  <si>
    <t>項目</t>
  </si>
  <si>
    <t>サブ項目</t>
  </si>
  <si>
    <t>内容</t>
  </si>
  <si>
    <t>成果物</t>
  </si>
  <si>
    <t>金額(税抜)</t>
  </si>
  <si>
    <t>業務ヒアリング・現状分析</t>
  </si>
  <si>
    <t>業務フローヒアリング</t>
  </si>
  <si>
    <t>業務フローのヒアリング、現状課題の把握</t>
  </si>
  <si>
    <t>ヒアリング議事録</t>
  </si>
  <si>
    <t>既存システム調査・分析</t>
  </si>
  <si>
    <t>既存システムの調査・分析、棚卸し前提の確認</t>
  </si>
  <si>
    <t>現状分析メモ</t>
  </si>
  <si>
    <t>棚卸・店舗移動・在庫ロス等のヒアリング</t>
  </si>
  <si>
    <t>店舗移動・在庫ロス・破損・複数拠点運用のヒアリング</t>
  </si>
  <si>
    <t>要件整理・機能要件定義</t>
  </si>
  <si>
    <t>機能要件の整理・機能一覧作成</t>
  </si>
  <si>
    <t>機能要件の整理、機能一覧の作成</t>
  </si>
  <si>
    <t>機能一覧表</t>
  </si>
  <si>
    <t>優先順位決定</t>
  </si>
  <si>
    <t>優先順位の決定</t>
  </si>
  <si>
    <t>-</t>
  </si>
  <si>
    <t>スマレジ連携範囲整理</t>
  </si>
  <si>
    <t>スマレジ連携範囲の整理</t>
  </si>
  <si>
    <t>商品/貯蔵品フロー整理</t>
  </si>
  <si>
    <t>商品・貯蔵品の流れの整理、要件の棚卸し</t>
  </si>
  <si>
    <t>業務フロー整理メモ</t>
  </si>
  <si>
    <t>データモデル設計</t>
  </si>
  <si>
    <t>アプリ構成・フィールド設計</t>
  </si>
  <si>
    <t>アプリ構成の検討、フィールド設計</t>
  </si>
  <si>
    <t>kintoneアプリ構成図・フィールド一覧</t>
  </si>
  <si>
    <t>データ連携設計</t>
  </si>
  <si>
    <t>kintone間・外部とのデータ連携設計</t>
  </si>
  <si>
    <t>連携設計メモ</t>
  </si>
  <si>
    <t>外部データ取込方式検討</t>
  </si>
  <si>
    <t>外部データのフォーマット検証・取込方式の検討</t>
  </si>
  <si>
    <t>取込仕様メモ</t>
  </si>
  <si>
    <t>業務フロー設計</t>
  </si>
  <si>
    <t>ToBe業務フロー図作成</t>
  </si>
  <si>
    <t>ToBe業務フロー図の作成、プロセス可視化</t>
  </si>
  <si>
    <t>ToBe業務フロー図</t>
  </si>
  <si>
    <t>プロセス管理</t>
  </si>
  <si>
    <t>プロセス管理設計</t>
  </si>
  <si>
    <t>外部連携仕様定義</t>
  </si>
  <si>
    <t>freee・スマレジ連携調査</t>
  </si>
  <si>
    <t>freee・スマレジ等の連携可否・方式の調査</t>
  </si>
  <si>
    <t>連携調査結果表</t>
  </si>
  <si>
    <t>API/CSV方式検討・連携項目確認</t>
  </si>
  <si>
    <t>API/CSV方式の検討、連携可能項目の確認</t>
  </si>
  <si>
    <t>連携仕様メモ</t>
  </si>
  <si>
    <t>デモ環境構築・画面検証</t>
  </si>
  <si>
    <t>要件検証用デモ環境整備</t>
  </si>
  <si>
    <t>要件検証用デモ環境の構築・整備</t>
  </si>
  <si>
    <t>デモ環境</t>
  </si>
  <si>
    <t>画面イメージ共有・レビュー対応</t>
  </si>
  <si>
    <t>画面イメージの共有、レビュー対応・指摘反映</t>
  </si>
  <si>
    <t>画面イメージ一覧・レビュー対応記録</t>
  </si>
  <si>
    <t>要件定義書・設計書作成</t>
  </si>
  <si>
    <t>要件定義書作成・レビュー対応</t>
  </si>
  <si>
    <t>要件定義書の作成、レビュー対応・指摘反映</t>
  </si>
  <si>
    <t>要件定義書</t>
  </si>
  <si>
    <t>基本設計書作成・指摘反映</t>
  </si>
  <si>
    <t>基本設計書の作成、レビュー指摘の反映</t>
  </si>
  <si>
    <t>基本設計書</t>
  </si>
  <si>
    <t>小計</t>
  </si>
  <si>
    <t>お値引き</t>
  </si>
  <si>
    <t>総計</t>
  </si>
  <si>
    <t>要件定義フェーズ 見積サマリー</t>
  </si>
  <si>
    <t>合計金額（税抜）</t>
  </si>
  <si>
    <t>支払い条件</t>
  </si>
  <si>
    <t>着手金 30% / レビュー完了時 70%</t>
  </si>
  <si>
    <t>注意事項</t>
  </si>
  <si>
    <t>・上記金額は税抜表示です。</t>
  </si>
  <si>
    <t>・本見積もりは要件定義フェーズのみの費用であり、システムの構築・ライセンス料・保守費用は含まれません。</t>
  </si>
  <si>
    <t>・当初の想定を大きく超える要件追加が発生した場合は、別途お見積り、または期間の延長をご相談させていただく場合があります。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</si>
</sst>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"/>
    <numFmt numFmtId="165" formatCode="&quot;¥&quot;#,##0"/>
  </numFmts>
  <fonts count="12">
    <font>
      <sz val="10.0"/>
      <color rgb="FF000000"/>
      <name val="Arial"/>
      <scheme val="minor"/>
    </font>
    <font>
      <b/>
      <sz val="12.0"/>
      <color rgb="FFFFFFFF"/>
      <name val="Meiryo"/>
    </font>
    <font>
      <b/>
      <sz val="11.0"/>
      <color theme="1"/>
      <name val="Meiryo"/>
    </font>
    <font>
      <color theme="1"/>
      <name val="Meiryo"/>
    </font>
    <font/>
    <font>
      <b/>
      <sz val="12.0"/>
      <color theme="1"/>
      <name val="Meiryo"/>
    </font>
    <font>
      <b/>
      <sz val="12.0"/>
      <color rgb="FFFF0000"/>
      <name val="Meiryo"/>
    </font>
    <font>
      <b/>
      <sz val="12.0"/>
      <color rgb="FFCC0000"/>
      <name val="Meiryo"/>
    </font>
    <font>
      <b/>
      <u/>
      <sz val="13.0"/>
      <color theme="1"/>
      <name val="Meiryo"/>
    </font>
    <font>
      <b/>
      <u/>
      <sz val="13.0"/>
      <color theme="1"/>
      <name val="Meiryo"/>
    </font>
    <font>
      <sz val="11.0"/>
      <color theme="1"/>
      <name val="Calibri"/>
    </font>
    <font>
      <sz val="11.0"/>
      <color theme="1"/>
      <name val="Meiryo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</border>
    <border>
      <left style="thin">
        <color rgb="FF000000"/>
      </lef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right style="thin">
        <color rgb="FF000000"/>
      </right>
      <top style="thin">
        <color rgb="FFB7B7B7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left style="thin">
        <color rgb="FF999999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left" vertical="center"/>
    </xf>
    <xf borderId="3" fillId="0" fontId="3" numFmtId="0" xfId="0" applyAlignment="1" applyBorder="1" applyFont="1">
      <alignment shrinkToFit="0" wrapText="1"/>
    </xf>
    <xf borderId="4" fillId="0" fontId="3" numFmtId="164" xfId="0" applyAlignment="1" applyBorder="1" applyFont="1" applyNumberFormat="1">
      <alignment horizontal="right"/>
    </xf>
    <xf borderId="5" fillId="0" fontId="4" numFmtId="0" xfId="0" applyBorder="1" applyFont="1"/>
    <xf borderId="6" fillId="0" fontId="4" numFmtId="0" xfId="0" applyBorder="1" applyFont="1"/>
    <xf borderId="7" fillId="0" fontId="5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5" numFmtId="164" xfId="0" applyAlignment="1" applyBorder="1" applyFont="1" applyNumberFormat="1">
      <alignment horizontal="right"/>
    </xf>
    <xf borderId="11" fillId="0" fontId="6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4" fontId="7" numFmtId="164" xfId="0" applyAlignment="1" applyBorder="1" applyFill="1" applyFont="1" applyNumberFormat="1">
      <alignment horizontal="right"/>
    </xf>
    <xf borderId="15" fillId="0" fontId="8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9" numFmtId="164" xfId="0" applyAlignment="1" applyBorder="1" applyFont="1" applyNumberFormat="1">
      <alignment horizontal="right"/>
    </xf>
    <xf borderId="0" fillId="0" fontId="10" numFmtId="0" xfId="0" applyFont="1"/>
    <xf borderId="0" fillId="0" fontId="2" numFmtId="0" xfId="0" applyFont="1"/>
    <xf borderId="0" fillId="0" fontId="11" numFmtId="0" xfId="0" applyFont="1"/>
    <xf borderId="0" fillId="0" fontId="11" numFmtId="165" xfId="0" applyFont="1" applyNumberFormat="1"/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8.25"/>
    <col customWidth="1" min="3" max="3" width="25.13"/>
    <col customWidth="1" min="4" max="4" width="37.63"/>
    <col customWidth="1" min="5" max="5" width="25.13"/>
    <col customWidth="1" min="6" max="6" width="18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 t="s">
        <v>5</v>
      </c>
      <c r="C3" s="3" t="s">
        <v>6</v>
      </c>
      <c r="D3" s="3" t="s">
        <v>7</v>
      </c>
      <c r="E3" s="3" t="s">
        <v>8</v>
      </c>
      <c r="F3" s="4">
        <v>120000.0</v>
      </c>
    </row>
    <row r="4">
      <c r="B4" s="5"/>
      <c r="C4" s="3" t="s">
        <v>9</v>
      </c>
      <c r="D4" s="3" t="s">
        <v>10</v>
      </c>
      <c r="E4" s="3" t="s">
        <v>11</v>
      </c>
      <c r="F4" s="4">
        <v>80000.0</v>
      </c>
    </row>
    <row r="5">
      <c r="B5" s="6"/>
      <c r="C5" s="3" t="s">
        <v>12</v>
      </c>
      <c r="D5" s="3" t="s">
        <v>13</v>
      </c>
      <c r="E5" s="3" t="s">
        <v>8</v>
      </c>
      <c r="F5" s="4">
        <v>120000.0</v>
      </c>
    </row>
    <row r="6">
      <c r="B6" s="2" t="s">
        <v>14</v>
      </c>
      <c r="C6" s="3" t="s">
        <v>15</v>
      </c>
      <c r="D6" s="3" t="s">
        <v>16</v>
      </c>
      <c r="E6" s="3" t="s">
        <v>17</v>
      </c>
      <c r="F6" s="4">
        <v>200000.0</v>
      </c>
    </row>
    <row r="7">
      <c r="B7" s="5"/>
      <c r="C7" s="3" t="s">
        <v>18</v>
      </c>
      <c r="D7" s="3" t="s">
        <v>19</v>
      </c>
      <c r="E7" s="3" t="s">
        <v>20</v>
      </c>
      <c r="F7" s="4">
        <v>80000.0</v>
      </c>
    </row>
    <row r="8">
      <c r="B8" s="5"/>
      <c r="C8" s="3" t="s">
        <v>21</v>
      </c>
      <c r="D8" s="3" t="s">
        <v>22</v>
      </c>
      <c r="E8" s="3" t="s">
        <v>20</v>
      </c>
      <c r="F8" s="4">
        <v>80000.0</v>
      </c>
    </row>
    <row r="9">
      <c r="B9" s="6"/>
      <c r="C9" s="3" t="s">
        <v>23</v>
      </c>
      <c r="D9" s="3" t="s">
        <v>24</v>
      </c>
      <c r="E9" s="3" t="s">
        <v>25</v>
      </c>
      <c r="F9" s="4">
        <v>120000.0</v>
      </c>
    </row>
    <row r="10">
      <c r="B10" s="2" t="s">
        <v>26</v>
      </c>
      <c r="C10" s="3" t="s">
        <v>27</v>
      </c>
      <c r="D10" s="3" t="s">
        <v>28</v>
      </c>
      <c r="E10" s="3" t="s">
        <v>29</v>
      </c>
      <c r="F10" s="4">
        <v>240000.0</v>
      </c>
    </row>
    <row r="11">
      <c r="B11" s="5"/>
      <c r="C11" s="3" t="s">
        <v>30</v>
      </c>
      <c r="D11" s="3" t="s">
        <v>31</v>
      </c>
      <c r="E11" s="3" t="s">
        <v>32</v>
      </c>
      <c r="F11" s="4">
        <v>120000.0</v>
      </c>
    </row>
    <row r="12">
      <c r="B12" s="6"/>
      <c r="C12" s="3" t="s">
        <v>33</v>
      </c>
      <c r="D12" s="3" t="s">
        <v>34</v>
      </c>
      <c r="E12" s="3" t="s">
        <v>35</v>
      </c>
      <c r="F12" s="4">
        <v>120000.0</v>
      </c>
    </row>
    <row r="13">
      <c r="B13" s="2" t="s">
        <v>36</v>
      </c>
      <c r="C13" s="3" t="s">
        <v>37</v>
      </c>
      <c r="D13" s="3" t="s">
        <v>38</v>
      </c>
      <c r="E13" s="3" t="s">
        <v>39</v>
      </c>
      <c r="F13" s="4">
        <v>200000.0</v>
      </c>
    </row>
    <row r="14">
      <c r="B14" s="6"/>
      <c r="C14" s="3" t="s">
        <v>40</v>
      </c>
      <c r="D14" s="3" t="s">
        <v>41</v>
      </c>
      <c r="E14" s="3" t="s">
        <v>20</v>
      </c>
      <c r="F14" s="4">
        <v>80000.0</v>
      </c>
    </row>
    <row r="15">
      <c r="B15" s="2" t="s">
        <v>42</v>
      </c>
      <c r="C15" s="3" t="s">
        <v>43</v>
      </c>
      <c r="D15" s="3" t="s">
        <v>44</v>
      </c>
      <c r="E15" s="3" t="s">
        <v>45</v>
      </c>
      <c r="F15" s="4">
        <v>120000.0</v>
      </c>
    </row>
    <row r="16">
      <c r="B16" s="6"/>
      <c r="C16" s="3" t="s">
        <v>46</v>
      </c>
      <c r="D16" s="3" t="s">
        <v>47</v>
      </c>
      <c r="E16" s="3" t="s">
        <v>48</v>
      </c>
      <c r="F16" s="4">
        <v>80000.0</v>
      </c>
    </row>
    <row r="17">
      <c r="B17" s="2" t="s">
        <v>49</v>
      </c>
      <c r="C17" s="3" t="s">
        <v>50</v>
      </c>
      <c r="D17" s="3" t="s">
        <v>51</v>
      </c>
      <c r="E17" s="3" t="s">
        <v>52</v>
      </c>
      <c r="F17" s="4">
        <v>240000.0</v>
      </c>
    </row>
    <row r="18">
      <c r="B18" s="6"/>
      <c r="C18" s="3" t="s">
        <v>53</v>
      </c>
      <c r="D18" s="3" t="s">
        <v>54</v>
      </c>
      <c r="E18" s="3" t="s">
        <v>55</v>
      </c>
      <c r="F18" s="4">
        <v>120000.0</v>
      </c>
    </row>
    <row r="19">
      <c r="B19" s="2" t="s">
        <v>56</v>
      </c>
      <c r="C19" s="3" t="s">
        <v>57</v>
      </c>
      <c r="D19" s="3" t="s">
        <v>58</v>
      </c>
      <c r="E19" s="3" t="s">
        <v>59</v>
      </c>
      <c r="F19" s="4">
        <v>200000.0</v>
      </c>
    </row>
    <row r="20">
      <c r="B20" s="6"/>
      <c r="C20" s="3" t="s">
        <v>60</v>
      </c>
      <c r="D20" s="3" t="s">
        <v>61</v>
      </c>
      <c r="E20" s="3" t="s">
        <v>62</v>
      </c>
      <c r="F20" s="4">
        <v>160000.0</v>
      </c>
    </row>
    <row r="21">
      <c r="B21" s="7" t="s">
        <v>63</v>
      </c>
      <c r="C21" s="8"/>
      <c r="D21" s="8"/>
      <c r="E21" s="9"/>
      <c r="F21" s="10">
        <f>SUM(F3:F20)</f>
        <v>2480000</v>
      </c>
    </row>
    <row r="22">
      <c r="B22" s="11" t="s">
        <v>64</v>
      </c>
      <c r="C22" s="12"/>
      <c r="D22" s="12"/>
      <c r="E22" s="13"/>
      <c r="F22" s="14">
        <v>180000.0</v>
      </c>
    </row>
    <row r="23">
      <c r="B23" s="15" t="s">
        <v>65</v>
      </c>
      <c r="C23" s="16"/>
      <c r="D23" s="16"/>
      <c r="E23" s="17"/>
      <c r="F23" s="18">
        <f>SUM(F21)-F22</f>
        <v>2300000</v>
      </c>
    </row>
    <row r="24">
      <c r="B24" s="19"/>
      <c r="C24" s="19"/>
      <c r="D24" s="19"/>
      <c r="E24" s="19"/>
      <c r="F24" s="19"/>
    </row>
    <row r="25">
      <c r="B25" s="20" t="s">
        <v>66</v>
      </c>
      <c r="C25" s="19"/>
      <c r="D25" s="19"/>
      <c r="E25" s="19"/>
      <c r="F25" s="19"/>
    </row>
    <row r="26">
      <c r="B26" s="21" t="s">
        <v>67</v>
      </c>
      <c r="C26" s="22">
        <f>F23</f>
        <v>2300000</v>
      </c>
      <c r="D26" s="19"/>
      <c r="E26" s="19"/>
      <c r="F26" s="19"/>
    </row>
    <row r="27">
      <c r="B27" s="19"/>
      <c r="C27" s="19"/>
      <c r="D27" s="19"/>
      <c r="E27" s="19"/>
      <c r="F27" s="19"/>
    </row>
    <row r="28">
      <c r="B28" s="20" t="s">
        <v>68</v>
      </c>
      <c r="C28" s="19"/>
      <c r="D28" s="19"/>
      <c r="E28" s="19"/>
      <c r="F28" s="19"/>
    </row>
    <row r="29">
      <c r="B29" s="21" t="s">
        <v>69</v>
      </c>
      <c r="C29" s="19"/>
      <c r="D29" s="19"/>
      <c r="E29" s="19"/>
      <c r="F29" s="19"/>
    </row>
    <row r="30">
      <c r="B30" s="19"/>
      <c r="C30" s="19"/>
      <c r="D30" s="19"/>
      <c r="E30" s="19"/>
      <c r="F30" s="19"/>
    </row>
    <row r="31">
      <c r="B31" s="21" t="s">
        <v>70</v>
      </c>
      <c r="C31" s="19"/>
      <c r="D31" s="19"/>
      <c r="E31" s="19"/>
      <c r="F31" s="19"/>
    </row>
    <row r="32">
      <c r="B32" s="21" t="s">
        <v>71</v>
      </c>
      <c r="C32" s="19"/>
      <c r="D32" s="19"/>
      <c r="E32" s="19"/>
      <c r="F32" s="19"/>
    </row>
    <row r="33">
      <c r="B33" s="21" t="s">
        <v>72</v>
      </c>
    </row>
    <row r="34">
      <c r="B34" s="23" t="s">
        <v>73</v>
      </c>
    </row>
  </sheetData>
  <mergeCells count="10">
    <mergeCell ref="B21:E21"/>
    <mergeCell ref="B22:E22"/>
    <mergeCell ref="B23:E23"/>
    <mergeCell ref="B3:B5"/>
    <mergeCell ref="B6:B9"/>
    <mergeCell ref="B10:B12"/>
    <mergeCell ref="B13:B14"/>
    <mergeCell ref="B15:B16"/>
    <mergeCell ref="B17:B18"/>
    <mergeCell ref="B19:B20"/>
  </mergeCells>
  <drawing r:id="rId1"/>
</worksheet>
</file>