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repo\mypj\YFマネジメント（株式会社人事部）\"/>
    </mc:Choice>
  </mc:AlternateContent>
  <xr:revisionPtr revIDLastSave="0" documentId="13_ncr:1_{A87FCE26-0A44-416C-A1AE-B11D2D2E0DE0}" xr6:coauthVersionLast="47" xr6:coauthVersionMax="47" xr10:uidLastSave="{00000000-0000-0000-0000-000000000000}"/>
  <bookViews>
    <workbookView xWindow="-110" yWindow="-110" windowWidth="22780" windowHeight="14540" xr2:uid="{00000000-000D-0000-FFFF-FFFF00000000}"/>
  </bookViews>
  <sheets>
    <sheet name="概算見積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3" i="1" l="1"/>
  <c r="E21" i="1"/>
  <c r="E20" i="1"/>
  <c r="E19" i="1"/>
  <c r="E18" i="1"/>
  <c r="E22" i="1" s="1"/>
  <c r="E16" i="1"/>
  <c r="E15" i="1"/>
  <c r="E14" i="1"/>
  <c r="E13" i="1"/>
  <c r="E12" i="1"/>
  <c r="E17" i="1" s="1"/>
  <c r="E11" i="1"/>
  <c r="E10" i="1"/>
  <c r="E9" i="1"/>
  <c r="E8" i="1"/>
  <c r="E7" i="1"/>
  <c r="E6" i="1"/>
  <c r="E5" i="1"/>
  <c r="E25" i="1" l="1"/>
</calcChain>
</file>

<file path=xl/sharedStrings.xml><?xml version="1.0" encoding="utf-8"?>
<sst xmlns="http://schemas.openxmlformats.org/spreadsheetml/2006/main" count="119" uniqueCount="43">
  <si>
    <t/>
  </si>
  <si>
    <t>作成日：</t>
  </si>
  <si>
    <t>2026年2月</t>
  </si>
  <si>
    <t>フェーズ</t>
  </si>
  <si>
    <t>項目</t>
  </si>
  <si>
    <t>工数(h)</t>
  </si>
  <si>
    <t>単価(円)</t>
  </si>
  <si>
    <t>金額(円)</t>
  </si>
  <si>
    <t>Phase1</t>
  </si>
  <si>
    <t>要件定義・設計（顧客マスタ・法人番号ベース）</t>
  </si>
  <si>
    <t>20</t>
  </si>
  <si>
    <t>10000</t>
  </si>
  <si>
    <t>名刺管理アプリ構築（Eight連携含む）</t>
  </si>
  <si>
    <t>25</t>
  </si>
  <si>
    <t>顧客マスタ・部門別情報アプリ構築</t>
  </si>
  <si>
    <t>接点（活動）履歴アプリ構築・関連付け</t>
  </si>
  <si>
    <t>15</t>
  </si>
  <si>
    <t>初期データ整備支援</t>
  </si>
  <si>
    <t>10</t>
  </si>
  <si>
    <t>テスト・納品・研修</t>
  </si>
  <si>
    <t>Phase1 小計</t>
  </si>
  <si>
    <t>Phase2</t>
  </si>
  <si>
    <t>要件定義・設計（タスク・日報）</t>
  </si>
  <si>
    <t>タスク管理アプリ構築（部門別分割対応）</t>
  </si>
  <si>
    <t>35</t>
  </si>
  <si>
    <t>日報連携・表示</t>
  </si>
  <si>
    <t>権限設計・設定</t>
  </si>
  <si>
    <t>Phase2 小計</t>
  </si>
  <si>
    <t>Phase3</t>
  </si>
  <si>
    <t>要件ヒアリング・設計</t>
  </si>
  <si>
    <t>売上・契約情報取り込み設計・構築</t>
  </si>
  <si>
    <t>マネーフォワード連携（要確認）</t>
  </si>
  <si>
    <t>テスト・納品</t>
  </si>
  <si>
    <t>5</t>
  </si>
  <si>
    <t>Phase3 小計</t>
  </si>
  <si>
    <t>保守</t>
  </si>
  <si>
    <t>月次保守・軽微な改修（別途契約）</t>
  </si>
  <si>
    <t>0</t>
  </si>
  <si>
    <t>合計</t>
  </si>
  <si>
    <t>【注記】</t>
  </si>
  <si>
    <t>詳細要件確定後に正式見積を提出します。本見積は目安であり、範囲変更により変動する場合があります。</t>
  </si>
  <si>
    <t>単価は1万円/hを想定。保守は別途お見積もり。IT導入補助金の対象となる場合、直接契約で申請可能な場合があります（要確認）。</t>
  </si>
  <si>
    <t>株式会社Y.Fマネジメント様 概算見積（たたき）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</si>
</sst>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ＭＳ Ｐゴシック"/>
      <family val="2"/>
      <scheme val="minor"/>
    </font>
    <font>
      <b/>
      <sz val="12"/>
      <name val="ＭＳ Ｐゴシック"/>
      <family val="2"/>
    </font>
    <font>
      <sz val="6"/>
      <name val="ＭＳ Ｐ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標準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9"/>
  <sheetViews>
    <sheetView tabSelected="1" workbookViewId="0">
      <selection sqref="A1:E29"/>
    </sheetView>
  </sheetViews>
  <sheetFormatPr defaultRowHeight="13" x14ac:dyDescent="0.2"/>
  <cols>
    <col min="1" max="1" width="41.1640625" customWidth="1"/>
    <col min="2" max="2" width="44.5" customWidth="1"/>
  </cols>
  <sheetData>
    <row r="1" spans="1:5" ht="14" x14ac:dyDescent="0.2">
      <c r="A1" t="s">
        <v>42</v>
      </c>
      <c r="B1" t="s">
        <v>0</v>
      </c>
      <c r="C1" t="s">
        <v>0</v>
      </c>
      <c r="D1" t="s">
        <v>0</v>
      </c>
      <c r="E1" t="s">
        <v>0</v>
      </c>
    </row>
    <row r="2" spans="1:5" ht="14" x14ac:dyDescent="0.2">
      <c r="A2" t="s">
        <v>1</v>
      </c>
      <c r="B2" t="s">
        <v>2</v>
      </c>
      <c r="C2" t="s">
        <v>0</v>
      </c>
      <c r="D2" t="s">
        <v>0</v>
      </c>
      <c r="E2" t="s">
        <v>0</v>
      </c>
    </row>
    <row r="3" spans="1:5" ht="14" x14ac:dyDescent="0.2">
      <c r="A3" t="s">
        <v>0</v>
      </c>
      <c r="B3" t="s">
        <v>0</v>
      </c>
      <c r="C3" t="s">
        <v>0</v>
      </c>
      <c r="D3" t="s">
        <v>0</v>
      </c>
      <c r="E3" t="s">
        <v>0</v>
      </c>
    </row>
    <row r="4" spans="1:5" ht="14" x14ac:dyDescent="0.2">
      <c r="A4" s="1" t="s">
        <v>3</v>
      </c>
      <c r="B4" s="1" t="s">
        <v>4</v>
      </c>
      <c r="C4" s="1" t="s">
        <v>5</v>
      </c>
      <c r="D4" s="1" t="s">
        <v>6</v>
      </c>
      <c r="E4" s="1" t="s">
        <v>7</v>
      </c>
    </row>
    <row r="5" spans="1:5" ht="14" x14ac:dyDescent="0.2">
      <c r="A5" t="s">
        <v>8</v>
      </c>
      <c r="B5" t="s">
        <v>9</v>
      </c>
      <c r="C5" t="s">
        <v>10</v>
      </c>
      <c r="D5" t="s">
        <v>11</v>
      </c>
      <c r="E5">
        <f t="shared" ref="E5:E10" si="0">C5*D5</f>
        <v>200000</v>
      </c>
    </row>
    <row r="6" spans="1:5" ht="14" x14ac:dyDescent="0.2">
      <c r="A6" t="s">
        <v>8</v>
      </c>
      <c r="B6" t="s">
        <v>12</v>
      </c>
      <c r="C6" t="s">
        <v>13</v>
      </c>
      <c r="D6" t="s">
        <v>11</v>
      </c>
      <c r="E6">
        <f t="shared" si="0"/>
        <v>250000</v>
      </c>
    </row>
    <row r="7" spans="1:5" ht="14" x14ac:dyDescent="0.2">
      <c r="A7" t="s">
        <v>8</v>
      </c>
      <c r="B7" t="s">
        <v>14</v>
      </c>
      <c r="C7" t="s">
        <v>10</v>
      </c>
      <c r="D7" t="s">
        <v>11</v>
      </c>
      <c r="E7">
        <f t="shared" si="0"/>
        <v>200000</v>
      </c>
    </row>
    <row r="8" spans="1:5" ht="14" x14ac:dyDescent="0.2">
      <c r="A8" t="s">
        <v>8</v>
      </c>
      <c r="B8" t="s">
        <v>15</v>
      </c>
      <c r="C8" t="s">
        <v>16</v>
      </c>
      <c r="D8" t="s">
        <v>11</v>
      </c>
      <c r="E8">
        <f t="shared" si="0"/>
        <v>150000</v>
      </c>
    </row>
    <row r="9" spans="1:5" ht="14" x14ac:dyDescent="0.2">
      <c r="A9" t="s">
        <v>8</v>
      </c>
      <c r="B9" t="s">
        <v>17</v>
      </c>
      <c r="C9" t="s">
        <v>18</v>
      </c>
      <c r="D9" t="s">
        <v>11</v>
      </c>
      <c r="E9">
        <f t="shared" si="0"/>
        <v>100000</v>
      </c>
    </row>
    <row r="10" spans="1:5" ht="14" x14ac:dyDescent="0.2">
      <c r="A10" t="s">
        <v>8</v>
      </c>
      <c r="B10" t="s">
        <v>19</v>
      </c>
      <c r="C10" t="s">
        <v>18</v>
      </c>
      <c r="D10" t="s">
        <v>11</v>
      </c>
      <c r="E10">
        <f t="shared" si="0"/>
        <v>100000</v>
      </c>
    </row>
    <row r="11" spans="1:5" ht="14" x14ac:dyDescent="0.2">
      <c r="A11" t="s">
        <v>0</v>
      </c>
      <c r="B11" s="1" t="s">
        <v>20</v>
      </c>
      <c r="C11" s="1" t="s">
        <v>0</v>
      </c>
      <c r="D11" s="1" t="s">
        <v>0</v>
      </c>
      <c r="E11" s="1">
        <f>SUM(E5:E10)</f>
        <v>1000000</v>
      </c>
    </row>
    <row r="12" spans="1:5" ht="14" x14ac:dyDescent="0.2">
      <c r="A12" t="s">
        <v>21</v>
      </c>
      <c r="B12" t="s">
        <v>22</v>
      </c>
      <c r="C12" t="s">
        <v>16</v>
      </c>
      <c r="D12" t="s">
        <v>11</v>
      </c>
      <c r="E12">
        <f>C12*D12</f>
        <v>150000</v>
      </c>
    </row>
    <row r="13" spans="1:5" ht="14" x14ac:dyDescent="0.2">
      <c r="A13" t="s">
        <v>21</v>
      </c>
      <c r="B13" t="s">
        <v>23</v>
      </c>
      <c r="C13" t="s">
        <v>24</v>
      </c>
      <c r="D13" t="s">
        <v>11</v>
      </c>
      <c r="E13">
        <f>C13*D13</f>
        <v>350000</v>
      </c>
    </row>
    <row r="14" spans="1:5" ht="14" x14ac:dyDescent="0.2">
      <c r="A14" t="s">
        <v>21</v>
      </c>
      <c r="B14" t="s">
        <v>25</v>
      </c>
      <c r="C14" t="s">
        <v>10</v>
      </c>
      <c r="D14" t="s">
        <v>11</v>
      </c>
      <c r="E14">
        <f>C14*D14</f>
        <v>200000</v>
      </c>
    </row>
    <row r="15" spans="1:5" ht="14" x14ac:dyDescent="0.2">
      <c r="A15" t="s">
        <v>21</v>
      </c>
      <c r="B15" t="s">
        <v>26</v>
      </c>
      <c r="C15" t="s">
        <v>16</v>
      </c>
      <c r="D15" t="s">
        <v>11</v>
      </c>
      <c r="E15">
        <f>C15*D15</f>
        <v>150000</v>
      </c>
    </row>
    <row r="16" spans="1:5" ht="14" x14ac:dyDescent="0.2">
      <c r="A16" t="s">
        <v>21</v>
      </c>
      <c r="B16" t="s">
        <v>19</v>
      </c>
      <c r="C16" t="s">
        <v>16</v>
      </c>
      <c r="D16" t="s">
        <v>11</v>
      </c>
      <c r="E16">
        <f>C16*D16</f>
        <v>150000</v>
      </c>
    </row>
    <row r="17" spans="1:5" ht="14" x14ac:dyDescent="0.2">
      <c r="A17" t="s">
        <v>0</v>
      </c>
      <c r="B17" s="1" t="s">
        <v>27</v>
      </c>
      <c r="C17" s="1" t="s">
        <v>0</v>
      </c>
      <c r="D17" s="1" t="s">
        <v>0</v>
      </c>
      <c r="E17" s="1">
        <f>SUM(E12:E16)</f>
        <v>1000000</v>
      </c>
    </row>
    <row r="18" spans="1:5" ht="14" x14ac:dyDescent="0.2">
      <c r="A18" t="s">
        <v>28</v>
      </c>
      <c r="B18" t="s">
        <v>29</v>
      </c>
      <c r="C18" t="s">
        <v>18</v>
      </c>
      <c r="D18" t="s">
        <v>11</v>
      </c>
      <c r="E18">
        <f>C18*D18</f>
        <v>100000</v>
      </c>
    </row>
    <row r="19" spans="1:5" ht="14" x14ac:dyDescent="0.2">
      <c r="A19" t="s">
        <v>28</v>
      </c>
      <c r="B19" t="s">
        <v>30</v>
      </c>
      <c r="C19" t="s">
        <v>16</v>
      </c>
      <c r="D19" t="s">
        <v>11</v>
      </c>
      <c r="E19">
        <f>C19*D19</f>
        <v>150000</v>
      </c>
    </row>
    <row r="20" spans="1:5" ht="14" x14ac:dyDescent="0.2">
      <c r="A20" t="s">
        <v>28</v>
      </c>
      <c r="B20" t="s">
        <v>31</v>
      </c>
      <c r="C20" t="s">
        <v>18</v>
      </c>
      <c r="D20" t="s">
        <v>11</v>
      </c>
      <c r="E20">
        <f>C20*D20</f>
        <v>100000</v>
      </c>
    </row>
    <row r="21" spans="1:5" ht="14" x14ac:dyDescent="0.2">
      <c r="A21" t="s">
        <v>28</v>
      </c>
      <c r="B21" t="s">
        <v>32</v>
      </c>
      <c r="C21" t="s">
        <v>33</v>
      </c>
      <c r="D21" t="s">
        <v>11</v>
      </c>
      <c r="E21">
        <f>C21*D21</f>
        <v>50000</v>
      </c>
    </row>
    <row r="22" spans="1:5" ht="14" x14ac:dyDescent="0.2">
      <c r="A22" t="s">
        <v>0</v>
      </c>
      <c r="B22" s="1" t="s">
        <v>34</v>
      </c>
      <c r="C22" s="1" t="s">
        <v>0</v>
      </c>
      <c r="D22" s="1" t="s">
        <v>0</v>
      </c>
      <c r="E22" s="1">
        <f>SUM(E18:E21)</f>
        <v>400000</v>
      </c>
    </row>
    <row r="23" spans="1:5" ht="14" x14ac:dyDescent="0.2">
      <c r="A23" t="s">
        <v>35</v>
      </c>
      <c r="B23" t="s">
        <v>36</v>
      </c>
      <c r="C23" t="s">
        <v>37</v>
      </c>
      <c r="D23" t="s">
        <v>11</v>
      </c>
      <c r="E23">
        <f>C23*D23</f>
        <v>0</v>
      </c>
    </row>
    <row r="24" spans="1:5" ht="14" x14ac:dyDescent="0.2">
      <c r="A24" t="s">
        <v>0</v>
      </c>
      <c r="B24" t="s">
        <v>0</v>
      </c>
      <c r="C24" t="s">
        <v>0</v>
      </c>
      <c r="D24" t="s">
        <v>0</v>
      </c>
      <c r="E24" t="s">
        <v>0</v>
      </c>
    </row>
    <row r="25" spans="1:5" ht="14" x14ac:dyDescent="0.2">
      <c r="A25" t="s">
        <v>0</v>
      </c>
      <c r="B25" s="1" t="s">
        <v>38</v>
      </c>
      <c r="C25" s="1" t="s">
        <v>0</v>
      </c>
      <c r="D25" s="1" t="s">
        <v>0</v>
      </c>
      <c r="E25" s="1">
        <f>E11+E17+E22+E23</f>
        <v>2400000</v>
      </c>
    </row>
    <row r="26" spans="1:5" ht="14" x14ac:dyDescent="0.2">
      <c r="A26" t="s">
        <v>0</v>
      </c>
      <c r="B26" t="s">
        <v>0</v>
      </c>
      <c r="C26" t="s">
        <v>0</v>
      </c>
      <c r="D26" t="s">
        <v>0</v>
      </c>
      <c r="E26" t="s">
        <v>0</v>
      </c>
    </row>
    <row r="27" spans="1:5" ht="14" x14ac:dyDescent="0.2">
      <c r="A27" t="s">
        <v>39</v>
      </c>
      <c r="C27" t="s">
        <v>0</v>
      </c>
      <c r="D27" t="s">
        <v>0</v>
      </c>
      <c r="E27" t="s">
        <v>0</v>
      </c>
    </row>
    <row r="28" spans="1:5" ht="14" x14ac:dyDescent="0.2">
      <c r="A28" t="s">
        <v>40</v>
      </c>
      <c r="C28" t="s">
        <v>0</v>
      </c>
      <c r="D28" t="s">
        <v>0</v>
      </c>
      <c r="E28" t="s">
        <v>0</v>
      </c>
    </row>
    <row r="29" spans="1:5" x14ac:dyDescent="0.2">
      <c r="A29" t="s">
        <v>41</v>
      </c>
    </row>
  </sheetData>
  <phoneticPr fontId="2"/>
  <pageMargins left="0.7" right="0.7" top="0.75" bottom="0.75" header="0.3" footer="0.3"/>
  <ignoredErrors>
    <ignoredError sqref="A2:E13 B1:E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概算見積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洸希 曽我</cp:lastModifiedBy>
  <dcterms:modified xsi:type="dcterms:W3CDTF">2026-02-13T09:03:03Z</dcterms:modified>
</cp:coreProperties>
</file>