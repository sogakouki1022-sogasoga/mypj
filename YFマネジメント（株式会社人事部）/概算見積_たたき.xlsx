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\mypj\YFマネジメント（株式会社人事部）\"/>
    </mc:Choice>
  </mc:AlternateContent>
  <xr:revisionPtr revIDLastSave="0" documentId="13_ncr:1_{E8E4E73F-48D7-41E9-BC6A-41C3A92C37E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概算見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<sst xmlns="http://schemas.openxmlformats.org/spreadsheetml/2006/main" count="52" uniqueCount="48">
  <si>
    <t>詳細要件確定後に正式見積を提出します。本見積は目安であり、範囲変更により変動する場合があります。</t>
  </si>
  <si>
    <t>単価は1万円/hを想定。保守は別途お見積もり。IT導入補助金の対象となる場合、直接契約で申請可能な場合があります（要確認）。</t>
  </si>
  <si>
    <t>株式会社Y.Fマネジメント様 概算見積（たたき）</t>
    <phoneticPr fontId="1"/>
  </si>
  <si>
    <t>作成日：</t>
    <phoneticPr fontId="1"/>
  </si>
  <si>
    <t>フェーズ</t>
    <phoneticPr fontId="1"/>
  </si>
  <si>
    <t>項目</t>
    <phoneticPr fontId="1"/>
  </si>
  <si>
    <t>内容</t>
    <phoneticPr fontId="1"/>
  </si>
  <si>
    <t>工数(h)</t>
    <phoneticPr fontId="1"/>
  </si>
  <si>
    <t>単価(円)</t>
    <phoneticPr fontId="1"/>
  </si>
  <si>
    <t>金額(税別)</t>
  </si>
  <si>
    <t>Phase1</t>
    <phoneticPr fontId="1"/>
  </si>
  <si>
    <t>要件定義・設計</t>
    <phoneticPr fontId="1"/>
  </si>
  <si>
    <t>顧客マスタ・法人番号ベースの設計、要件整理</t>
    <phoneticPr fontId="1"/>
  </si>
  <si>
    <t>名刺管理アプリ構築</t>
    <phoneticPr fontId="1"/>
  </si>
  <si>
    <t>Eight連携含む。名刺データの取り込み・顧客紐付け</t>
    <phoneticPr fontId="1"/>
  </si>
  <si>
    <t>顧客マスタ・部門別情報</t>
    <phoneticPr fontId="1"/>
  </si>
  <si>
    <t>法人番号をキーにした顧客DB、部門別情報の設計・構築</t>
    <phoneticPr fontId="1"/>
  </si>
  <si>
    <t>接点（活動）履歴</t>
    <phoneticPr fontId="1"/>
  </si>
  <si>
    <t>活動アプリの構築、顧客アプリとの関連付け</t>
    <phoneticPr fontId="1"/>
  </si>
  <si>
    <t>初期データ整備支援</t>
    <phoneticPr fontId="1"/>
  </si>
  <si>
    <t>既存データの整理・取込支援</t>
    <phoneticPr fontId="1"/>
  </si>
  <si>
    <t>テスト・納品・研修</t>
    <phoneticPr fontId="1"/>
  </si>
  <si>
    <t>結合テスト、操作研修、納品</t>
    <phoneticPr fontId="1"/>
  </si>
  <si>
    <t>Phase1 小計</t>
    <phoneticPr fontId="1"/>
  </si>
  <si>
    <t>Phase2</t>
    <phoneticPr fontId="1"/>
  </si>
  <si>
    <t>タスク・日報の要件整理、設計</t>
    <phoneticPr fontId="1"/>
  </si>
  <si>
    <t>タスク管理アプリ構築</t>
    <phoneticPr fontId="1"/>
  </si>
  <si>
    <t>部門別分割対応。税理士法人用・社労士法人用等</t>
    <phoneticPr fontId="1"/>
  </si>
  <si>
    <t>日報連携・表示</t>
    <phoneticPr fontId="1"/>
  </si>
  <si>
    <t>日報データの連携、顧客・案件との表示</t>
    <phoneticPr fontId="1"/>
  </si>
  <si>
    <t>権限設計・設定</t>
    <phoneticPr fontId="1"/>
  </si>
  <si>
    <t>部門・法人単位のアクセス権設定</t>
    <phoneticPr fontId="1"/>
  </si>
  <si>
    <t>Phase2 小計</t>
    <phoneticPr fontId="1"/>
  </si>
  <si>
    <t>Phase3</t>
    <phoneticPr fontId="1"/>
  </si>
  <si>
    <t>要件ヒアリング・設計</t>
    <phoneticPr fontId="1"/>
  </si>
  <si>
    <t>売上・契約・マネフォ連携の要件整理</t>
    <phoneticPr fontId="1"/>
  </si>
  <si>
    <t>売上・契約情報取り込み</t>
    <phoneticPr fontId="1"/>
  </si>
  <si>
    <t>売上・契約データの設計・構築（CSV取込等）</t>
    <phoneticPr fontId="1"/>
  </si>
  <si>
    <t>マネーフォワード連携</t>
    <phoneticPr fontId="1"/>
  </si>
  <si>
    <t>連携仕様要確認。APIまたはプラグイン</t>
    <phoneticPr fontId="1"/>
  </si>
  <si>
    <t>テスト・納品</t>
    <phoneticPr fontId="1"/>
  </si>
  <si>
    <t>結合テスト、納品</t>
    <phoneticPr fontId="1"/>
  </si>
  <si>
    <t>Phase3 小計</t>
    <phoneticPr fontId="1"/>
  </si>
  <si>
    <t>保守</t>
    <phoneticPr fontId="1"/>
  </si>
  <si>
    <t>月次保守・軽微な改修</t>
    <phoneticPr fontId="1"/>
  </si>
  <si>
    <t>別途契約。納品後の保守・問い合わせ対応</t>
    <phoneticPr fontId="1"/>
  </si>
  <si>
    <t>合計</t>
    <phoneticPr fontId="1"/>
  </si>
  <si>
    <t>【注記】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</si>
</sst>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name val="ＭＳ Ｐゴシック"/>
      <family val="3"/>
      <charset val="128"/>
    </font>
    <font>
      <b/>
      <sz val="12"/>
      <color rgb="FFFFFFFF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b/>
      <sz val="12"/>
      <color rgb="FFFFFFFF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55" fontId="0" fillId="0" borderId="0" xfId="0" applyNumberForma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sqref="A1:E29"/>
    </sheetView>
  </sheetViews>
  <sheetFormatPr defaultRowHeight="14" x14ac:dyDescent="0.2"/>
  <cols>
    <col min="1" max="1" width="41.1640625" customWidth="1"/>
    <col min="2" max="2" width="44.5" customWidth="1"/>
  </cols>
  <sheetData>
    <row r="1" spans="1:6" x14ac:dyDescent="0.2">
      <c r="A1" t="s">
        <v>2</v>
      </c>
    </row>
    <row r="2" spans="1:6" x14ac:dyDescent="0.2">
      <c r="A2" t="s">
        <v>3</v>
      </c>
      <c r="B2" s="1">
        <v>46054</v>
      </c>
    </row>
    <row r="4" spans="1:6" x14ac:dyDescent="0.2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5" t="s">
        <v>9</v>
      </c>
    </row>
    <row r="5" spans="1:6" x14ac:dyDescent="0.2">
      <c r="A5" t="s">
        <v>10</v>
      </c>
      <c r="B5" t="s">
        <v>11</v>
      </c>
      <c r="C5" t="s">
        <v>12</v>
      </c>
      <c r="D5">
        <v>20</v>
      </c>
      <c r="E5">
        <v>10000</v>
      </c>
      <c r="F5">
        <f>D5*E5</f>
        <v>200000</v>
      </c>
    </row>
    <row r="6" spans="1:6" x14ac:dyDescent="0.2">
      <c r="B6" t="s">
        <v>13</v>
      </c>
      <c r="C6" t="s">
        <v>14</v>
      </c>
      <c r="D6">
        <v>25</v>
      </c>
      <c r="E6">
        <v>10000</v>
      </c>
      <c r="F6">
        <f>D6*E6</f>
        <v>250000</v>
      </c>
    </row>
    <row r="7" spans="1:6" x14ac:dyDescent="0.2">
      <c r="B7" t="s">
        <v>15</v>
      </c>
      <c r="C7" t="s">
        <v>16</v>
      </c>
      <c r="D7">
        <v>20</v>
      </c>
      <c r="E7">
        <v>10000</v>
      </c>
      <c r="F7">
        <f>D7*E7</f>
        <v>200000</v>
      </c>
    </row>
    <row r="8" spans="1:6" x14ac:dyDescent="0.2">
      <c r="B8" t="s">
        <v>17</v>
      </c>
      <c r="C8" t="s">
        <v>18</v>
      </c>
      <c r="D8">
        <v>15</v>
      </c>
      <c r="E8">
        <v>10000</v>
      </c>
      <c r="F8">
        <f>D8*E8</f>
        <v>150000</v>
      </c>
    </row>
    <row r="9" spans="1:6" x14ac:dyDescent="0.2">
      <c r="B9" t="s">
        <v>19</v>
      </c>
      <c r="C9" t="s">
        <v>20</v>
      </c>
      <c r="D9">
        <v>10</v>
      </c>
      <c r="E9">
        <v>10000</v>
      </c>
      <c r="F9">
        <f>D9*E9</f>
        <v>100000</v>
      </c>
    </row>
    <row r="10" spans="1:6" x14ac:dyDescent="0.2">
      <c r="B10" t="s">
        <v>21</v>
      </c>
      <c r="C10" t="s">
        <v>22</v>
      </c>
      <c r="D10">
        <v>10</v>
      </c>
      <c r="E10">
        <v>10000</v>
      </c>
      <c r="F10">
        <f>D10*E10</f>
        <v>100000</v>
      </c>
    </row>
    <row r="11" spans="1:6" x14ac:dyDescent="0.2">
      <c r="B11" s="2" t="s">
        <v>23</v>
      </c>
      <c r="C11" s="2"/>
      <c r="D11" s="2"/>
      <c r="E11" s="2"/>
      <c r="F11" s="4">
        <f>SUM(F5:F10)</f>
        <v>1000000</v>
      </c>
    </row>
    <row r="12" spans="1:6" x14ac:dyDescent="0.2">
      <c r="A12" t="s">
        <v>24</v>
      </c>
      <c r="B12" t="s">
        <v>11</v>
      </c>
      <c r="C12" t="s">
        <v>25</v>
      </c>
      <c r="D12">
        <v>15</v>
      </c>
      <c r="E12">
        <v>10000</v>
      </c>
      <c r="F12">
        <f>D12*E12</f>
        <v>150000</v>
      </c>
    </row>
    <row r="13" spans="1:6" x14ac:dyDescent="0.2">
      <c r="B13" t="s">
        <v>26</v>
      </c>
      <c r="C13" t="s">
        <v>27</v>
      </c>
      <c r="D13">
        <v>35</v>
      </c>
      <c r="E13">
        <v>10000</v>
      </c>
      <c r="F13">
        <f>D13*E13</f>
        <v>350000</v>
      </c>
    </row>
    <row r="14" spans="1:6" x14ac:dyDescent="0.2">
      <c r="B14" t="s">
        <v>28</v>
      </c>
      <c r="C14" t="s">
        <v>29</v>
      </c>
      <c r="D14">
        <v>20</v>
      </c>
      <c r="E14">
        <v>10000</v>
      </c>
      <c r="F14">
        <f>D14*E14</f>
        <v>200000</v>
      </c>
    </row>
    <row r="15" spans="1:6" x14ac:dyDescent="0.2">
      <c r="B15" t="s">
        <v>30</v>
      </c>
      <c r="C15" t="s">
        <v>31</v>
      </c>
      <c r="D15">
        <v>15</v>
      </c>
      <c r="E15">
        <v>10000</v>
      </c>
      <c r="F15">
        <f>D15*E15</f>
        <v>150000</v>
      </c>
    </row>
    <row r="16" spans="1:6" x14ac:dyDescent="0.2">
      <c r="B16" t="s">
        <v>21</v>
      </c>
      <c r="C16" t="s">
        <v>22</v>
      </c>
      <c r="D16">
        <v>15</v>
      </c>
      <c r="E16">
        <v>10000</v>
      </c>
      <c r="F16">
        <f>D16*E16</f>
        <v>150000</v>
      </c>
    </row>
    <row r="17" spans="1:6" x14ac:dyDescent="0.2">
      <c r="B17" s="2" t="s">
        <v>32</v>
      </c>
      <c r="C17" s="2"/>
      <c r="D17" s="2"/>
      <c r="E17" s="2"/>
      <c r="F17" s="4">
        <f>SUM(F12:F16)</f>
        <v>1000000</v>
      </c>
    </row>
    <row r="18" spans="1:6" x14ac:dyDescent="0.2">
      <c r="A18" t="s">
        <v>33</v>
      </c>
      <c r="B18" t="s">
        <v>34</v>
      </c>
      <c r="C18" t="s">
        <v>35</v>
      </c>
      <c r="D18">
        <v>10</v>
      </c>
      <c r="E18">
        <v>10000</v>
      </c>
      <c r="F18">
        <f>D18*E18</f>
        <v>100000</v>
      </c>
    </row>
    <row r="19" spans="1:6" x14ac:dyDescent="0.2">
      <c r="B19" t="s">
        <v>36</v>
      </c>
      <c r="C19" t="s">
        <v>37</v>
      </c>
      <c r="D19">
        <v>15</v>
      </c>
      <c r="E19">
        <v>10000</v>
      </c>
      <c r="F19">
        <f>D19*E19</f>
        <v>150000</v>
      </c>
    </row>
    <row r="20" spans="1:6" x14ac:dyDescent="0.2">
      <c r="B20" t="s">
        <v>38</v>
      </c>
      <c r="C20" t="s">
        <v>39</v>
      </c>
      <c r="D20">
        <v>10</v>
      </c>
      <c r="E20">
        <v>10000</v>
      </c>
      <c r="F20">
        <f>D20*E20</f>
        <v>100000</v>
      </c>
    </row>
    <row r="21" spans="1:6" x14ac:dyDescent="0.2">
      <c r="B21" t="s">
        <v>40</v>
      </c>
      <c r="C21" t="s">
        <v>41</v>
      </c>
      <c r="D21">
        <v>5</v>
      </c>
      <c r="E21">
        <v>10000</v>
      </c>
      <c r="F21">
        <f>D21*E21</f>
        <v>50000</v>
      </c>
    </row>
    <row r="22" spans="1:6" x14ac:dyDescent="0.2">
      <c r="B22" s="2" t="s">
        <v>42</v>
      </c>
      <c r="C22" s="2"/>
      <c r="D22" s="2"/>
      <c r="E22" s="2"/>
      <c r="F22" s="4">
        <f>SUM(F18:F21)</f>
        <v>400000</v>
      </c>
    </row>
    <row r="23" spans="1:6" x14ac:dyDescent="0.2">
      <c r="A23" t="s">
        <v>43</v>
      </c>
      <c r="B23" t="s">
        <v>44</v>
      </c>
      <c r="C23" t="s">
        <v>45</v>
      </c>
      <c r="D23">
        <v>0</v>
      </c>
      <c r="E23">
        <v>10000</v>
      </c>
      <c r="F23">
        <f>D23*E23</f>
        <v>0</v>
      </c>
    </row>
    <row r="25" spans="1:6" x14ac:dyDescent="0.2">
      <c r="A25" s="6" t="s">
        <v>46</v>
      </c>
      <c r="B25" s="7"/>
      <c r="C25" s="7"/>
      <c r="D25" s="7"/>
      <c r="E25" s="7"/>
      <c r="F25" s="6">
        <f>F11+F17+F22+F23</f>
        <v>2400000</v>
      </c>
    </row>
    <row r="27" spans="1:6" x14ac:dyDescent="0.2">
      <c r="A27" t="s">
        <v>47</v>
      </c>
      <c r="B27" t="s">
        <v>0</v>
      </c>
    </row>
    <row r="28" spans="1:6" x14ac:dyDescent="0.2">
      <c r="B28" t="s">
        <v>1</v>
      </c>
    </row>
    <row r="29" spans="1:6" x14ac:dyDescent="0.2">
      <c r="A29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概算見積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洸希 曽我</cp:lastModifiedBy>
  <dcterms:modified xsi:type="dcterms:W3CDTF">2026-02-16T01:35:24Z</dcterms:modified>
</cp:coreProperties>
</file>